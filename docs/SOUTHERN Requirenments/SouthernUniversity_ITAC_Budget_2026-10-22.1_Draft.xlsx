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E:\0.Strategic Value+ Solutions\0. Southern University - Patrick Mensah\ITAC Proposal Due 2026-10-30\Budget\"/>
    </mc:Choice>
  </mc:AlternateContent>
  <xr:revisionPtr revIDLastSave="0" documentId="13_ncr:1_{F4DEF845-7BB8-4B3C-A675-7F3C34722216}" xr6:coauthVersionLast="47" xr6:coauthVersionMax="47" xr10:uidLastSave="{00000000-0000-0000-0000-000000000000}"/>
  <bookViews>
    <workbookView xWindow="-108" yWindow="-108" windowWidth="23256" windowHeight="12456" tabRatio="500" xr2:uid="{00000000-000D-0000-FFFF-FFFF00000000}"/>
  </bookViews>
  <sheets>
    <sheet name="Prime Recipient" sheetId="1" r:id="rId1"/>
    <sheet name="Subrecipient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1" i="2" l="1"/>
  <c r="F11" i="2"/>
  <c r="E11" i="2"/>
  <c r="D11" i="2"/>
  <c r="C11" i="2"/>
  <c r="H11" i="2" s="1"/>
  <c r="H10" i="2"/>
  <c r="H9" i="2"/>
  <c r="G30" i="1"/>
  <c r="F30" i="1"/>
  <c r="E30" i="1"/>
  <c r="D30" i="1"/>
  <c r="C30" i="1"/>
  <c r="H30" i="1" s="1"/>
  <c r="H29" i="1"/>
  <c r="H28" i="1"/>
  <c r="H27" i="1"/>
  <c r="H26" i="1"/>
  <c r="H25" i="1"/>
  <c r="H24" i="1"/>
  <c r="H23" i="1"/>
  <c r="H22" i="1"/>
  <c r="G20" i="1"/>
  <c r="F20" i="1"/>
  <c r="E20" i="1"/>
  <c r="D20" i="1"/>
  <c r="C20" i="1"/>
  <c r="H20" i="1" s="1"/>
  <c r="G19" i="1"/>
  <c r="G21" i="1" s="1"/>
  <c r="F19" i="1"/>
  <c r="F21" i="1" s="1"/>
  <c r="E19" i="1"/>
  <c r="E21" i="1" s="1"/>
  <c r="D19" i="1"/>
  <c r="D21" i="1" s="1"/>
  <c r="C19" i="1"/>
  <c r="H17" i="1"/>
  <c r="H16" i="1"/>
  <c r="H15" i="1"/>
  <c r="H14" i="1"/>
  <c r="H13" i="1"/>
  <c r="H12" i="1"/>
  <c r="H11" i="1"/>
  <c r="H10" i="1"/>
  <c r="H9" i="1"/>
  <c r="H19" i="1" l="1"/>
  <c r="C21" i="1"/>
  <c r="H21" i="1" s="1"/>
</calcChain>
</file>

<file path=xl/sharedStrings.xml><?xml version="1.0" encoding="utf-8"?>
<sst xmlns="http://schemas.openxmlformats.org/spreadsheetml/2006/main" count="68" uniqueCount="56">
  <si>
    <t>Project Title:</t>
  </si>
  <si>
    <t>Southern University Industrial Training and Assessment Center (SU ITAC)</t>
  </si>
  <si>
    <t>Applicant Name (Prime Recipient):</t>
  </si>
  <si>
    <t>Southern University and A&amp;M College (Baton Rouge, LA) — UEI H7CJA7NX9WN3</t>
  </si>
  <si>
    <t xml:space="preserve">Application track (1 or 2): </t>
  </si>
  <si>
    <t>Category</t>
  </si>
  <si>
    <t>Budget Period 1</t>
  </si>
  <si>
    <t xml:space="preserve">Budget Period 2 </t>
  </si>
  <si>
    <t xml:space="preserve">Budget Period 3 </t>
  </si>
  <si>
    <t xml:space="preserve">Budget Period 4 </t>
  </si>
  <si>
    <t xml:space="preserve">Budget Period 5 </t>
  </si>
  <si>
    <t>TOTAL</t>
  </si>
  <si>
    <t>Description/Explanation/Details
(Please include any additional information necessary to clarify or otherwise enable reviewers to evaluate reasonableness of budget)</t>
  </si>
  <si>
    <t>Principal Investigator</t>
  </si>
  <si>
    <t>Dr. Fareed Dawan, PI &amp; ITAC Director (Tenured Associate Professor, Mechanical Engineering): ~1.5 summer months, Y1 salary $24,000 + 26.62% fringe (9-month faculty summer rate, per Southern's LIFT budget); 3%/yr escalation. [OSP to confirm base salary and rate.]</t>
  </si>
  <si>
    <t>Technical Staff</t>
  </si>
  <si>
    <t>Co-PIs and senior faculty, 3%/yr escalation: Dr. Brian Warren (Co-PI, Associate Director for Energy Assessments; ~1.5 summer months, $20,000) and EE/CEE faculty leads ($8,000) at 26.62% fringe; Dr. Patrick Mensah (Co-PI; 12-month appointment, ~2.5% effort, $8,000) at 33.88% fringe. Dr. Michael Stubblefield (Co-PI) and Deanna Smith (federal contracting and mentor-protégé lead) contribute effort as cost share.</t>
  </si>
  <si>
    <t>Administrative Staff</t>
  </si>
  <si>
    <t>Center Administrator, 0.5 FTE: Deidre H. Street, Executive Director for Outreach and Research Engagement. Y1 $27,500 + 37.12% fringe (staff rate, per Southern's LIFT budget); 3%/yr escalation. Budget, milestone invoicing, cost-share documentation, scheduling, reporting.</t>
  </si>
  <si>
    <t>Student Employment</t>
  </si>
  <si>
    <t>Paid student assessors: 16 in BP1, 24 in BP2–5; ~250 hrs/yr each at $16/hr (≈10 hrs/wk in term plus summer). ~75% undergraduate, 25% graduate. Students beyond 24 counted as trained in the narrative (26–28 in BP3–5) participate through the Industrial Energy Systems and Assessment elective and capstone projects and are not paid.</t>
  </si>
  <si>
    <t xml:space="preserve">Equipment and Supplies </t>
  </si>
  <si>
    <t>BP1: assessment instrumentation $40,000 (power/power-quality loggers, thermal camera, ultrasonic leak detector, combustion analyzer, airflow, lighting, temperature and current loggers) + supplies, PPE, and software $5,000. BP2–5: calibration and replacement $5,000 + supplies, PPE, and software $7,000.</t>
  </si>
  <si>
    <t>Travel</t>
  </si>
  <si>
    <t>Site visits across north and central Louisiana, the Delta, and southwest Mississippi from Baton Rouge and the Southern University at Shreveport satellite (round trips of up to ~500 miles; ~10 visits in BP1, ~20/yr after; mileage, lodging, per diem) plus 2 DOE ITAC director and peer-learning meetings per year.</t>
  </si>
  <si>
    <t>Vendors</t>
  </si>
  <si>
    <t>None. Strategic Value Plus Solutions is budgeted as a subrecipient (see Subrecipients tab).</t>
  </si>
  <si>
    <t>Other Costs</t>
  </si>
  <si>
    <t>BP1: Certified Energy Manager training and exam for the energy-assessment lead ($2,500); ITAC Industry Day, certificate ceremony, and outreach materials ($2,000). BP2–5: student research and recognition awards ($5,000) and Industry Day, ceremony, and outreach materials ($2,000).</t>
  </si>
  <si>
    <t>Facilities &amp; Administrative (indirect)</t>
  </si>
  <si>
    <t>Institutional facilities &amp; administrative costs retained within the firm-fixed-price amount: balance to $375,000/yr, falling from 9.7% of direct costs in BP1 to 2.0% in BP5 as salaries escalate. [OSP to confirm acceptable; otherwise reduce escalation or other lines.]</t>
  </si>
  <si>
    <t>Total -- Subrecipients</t>
  </si>
  <si>
    <t>TOTAL (Federal Share)</t>
  </si>
  <si>
    <t>Southern University and A&amp;M College</t>
  </si>
  <si>
    <t>In-kind $63,750/yr + cash $10,000/yr: faculty and Co-PI effort not charged to the award, with fringe ($43,750), including academic-year faculty presence on site visits (every BP1 visit and each new team's first visit) and the effort of Dr. Stubblefield and Deanna Smith; use of the Advanced Metal AM Laboratory, XR Jags immersive-training capability, Center space, and departmental labs ($20,000); cash student scholarships and research stipends ($10,000). Documented per 7 CFR 1486.401 in Southern's institutional letter.</t>
  </si>
  <si>
    <t>Strategic Value Plus Solutions, LLC (V+)</t>
  </si>
  <si>
    <t>In-kind: V+ field-engineer and senior-advisor hours not billed to the award.</t>
  </si>
  <si>
    <t>HUBZone Contractors National Council</t>
  </si>
  <si>
    <t>In-kind, $6,000/yr: HUBZone readiness lead. Council participation (8 hrs); two HUBZone readiness workshops for client plants covering eligibility (principal office and 35% employee residency), certification, the SBA HUBZone map, and set-aside, sole-source, and price-preference benefits (14 hrs incl. prep); 22 hrs × $150/hr = $3,300, plus waived registrations for ~9 ITAC clients and students at HUBZone events (~$2,700 fair market value). [Confirm in HCNC letter.]</t>
  </si>
  <si>
    <t>KDM &amp; Associates</t>
  </si>
  <si>
    <t>In-kind, $5,000/yr: federal contracting teaming lead. Council participation (8 hrs); two federal contracting and teaming workshops for client plants covering teaming agreements, prime/subcontract structures, joint ventures, SAM.gov readiness, and reading solicitations (14 hrs); teaming advisory for client plants (11 hrs); 33 hrs × $150/hr ≈ $5,000. [Confirm in KDM letter.]</t>
  </si>
  <si>
    <t>American Defense Alliance</t>
  </si>
  <si>
    <t>In-kind, $6,000/yr: mentor-protégé teaming lead. Council participation (8 hrs); matching client plants with defense primes and mentors under SBA and Department of War mentor-protégé programs, including a dedicated conference session (12 hrs); 20 hrs × $150/hr = $3,000, plus waived conference registrations for 6 students/clients (~$3,000 fair market value). [Confirm in ADA letter.]</t>
  </si>
  <si>
    <t>End-to-End Enterprise Solutions</t>
  </si>
  <si>
    <t>In-kind, $5,000/yr: CMMC readiness lead. Council participation (8 hrs); two CMMC readiness workshops for client plants covering Level 1 and Level 2 self-assessment, NIST SP 800-171, SPRS scoring, and DFARS 252.204-7012 (14 hrs incl. prep); CMMC gap-review clinics for client plants (11 hrs); 33 hrs × $150/hr ≈ $5,000. [Confirm in E2ES letter.]</t>
  </si>
  <si>
    <t>Let's Thryve</t>
  </si>
  <si>
    <t>In-kind, $3,500/yr: Council participation (8 hrs); coordination and delivery of two cybersecurity-awareness sessions for client plants and students (15 hrs); 23 hrs × $150/hr ≈ $3,500. [Confirm in Let's Thryve letter.]</t>
  </si>
  <si>
    <t>iHealth</t>
  </si>
  <si>
    <t>In-kind, $1,500/yr: Council participation (8 hrs) and one training session in its specialty (2 hrs); 10 hrs × $150/hr. [Role must be defined in its letter; if none, remove this row.]</t>
  </si>
  <si>
    <t>TOTAL (Cost Share)</t>
  </si>
  <si>
    <t>Total cost share $120,750/yr ($603,750 over five years) = 24.4% of total project cost; exceeds the 20% minimum. The SU MBDA LIFT Rural Business Center and SU Louisiana SBDC identify and prepare rural manufacturers but are not valued as cost share, because both are funded by other federal awards.</t>
  </si>
  <si>
    <t>Subrecipients</t>
  </si>
  <si>
    <t>Subrecipient (if applicable)</t>
  </si>
  <si>
    <t>Description/Explanation/Details 
(Please include any additional information necessary to clarify or otherwise enable reviewers to evaluate reasonableness of budget)</t>
  </si>
  <si>
    <t>Primary implementation partner: client pipeline from its network of 70+ veteran manufacturing SMEs; a field engineer on every site visit coaching students on productivity and plant operations (engineers appointed adjunct professors of practice); productivity, Lean, and supplier-readiness modules in the student boot camp; supplier readiness (quality, CMMC cybersecurity, operations, ITAR); implementation follow-up and Implementation Grant packets; incumbent-worker training. Includes V+ staff travel from Texas, Missouri, and Ohio: site visits grouped into two-plant trips (5 trips in BP1, 9 in BP2, 10/yr after), at ~$900 per drive trip (Texas) and ~$2,000 per flight trip (Missouri, Ohio), plus two boot-camp trips and incumbent-worker training trips; estimated travel $12,100 (BP1), $19,350 (BP2), $22,250 (BP3–5); labor and platform $87,900 (BP1) to $77,750 (BP3–5). 26.7% of federal share. Southern owns the training curriculum, energy-technical instruction, report sign-off, and certification; students perform all assessments.</t>
  </si>
  <si>
    <t>Total Funds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</si>
</sst>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_(\$* #,##0.00_);_(\$* \(#,##0.00\);_(\$* \-??_);_(@_)"/>
  </numFmts>
  <fonts count="7" x14ac:knownFonts="1">
    <font>
      <sz val="11"/>
      <color theme="1"/>
      <name val="Calibri"/>
      <family val="2"/>
      <charset val="1"/>
    </font>
    <font>
      <b/>
      <sz val="11"/>
      <color theme="1"/>
      <name val="Calibri"/>
      <family val="2"/>
      <charset val="1"/>
    </font>
    <font>
      <i/>
      <sz val="11"/>
      <color theme="1"/>
      <name val="Calibri"/>
      <family val="2"/>
      <charset val="1"/>
    </font>
    <font>
      <b/>
      <sz val="11"/>
      <name val="Calibri"/>
      <family val="2"/>
      <charset val="1"/>
    </font>
    <font>
      <sz val="11"/>
      <name val="Calibri"/>
      <family val="2"/>
      <charset val="1"/>
    </font>
    <font>
      <i/>
      <sz val="11"/>
      <name val="Calibri"/>
      <family val="2"/>
      <charset val="1"/>
    </font>
    <font>
      <b/>
      <sz val="11"/>
      <color theme="1"/>
      <name val="Calibri"/>
      <family val="2"/>
    </font>
  </fonts>
  <fills count="8">
    <fill>
      <patternFill patternType="none"/>
    </fill>
    <fill>
      <patternFill patternType="gray125"/>
    </fill>
    <fill>
      <patternFill patternType="solid">
        <fgColor theme="0" tint="-4.9989318521683403E-2"/>
        <bgColor rgb="FFFFFFCC"/>
      </patternFill>
    </fill>
    <fill>
      <patternFill patternType="solid">
        <fgColor theme="0" tint="-0.249977111117893"/>
        <bgColor rgb="FFADB9CA"/>
      </patternFill>
    </fill>
    <fill>
      <patternFill patternType="solid">
        <fgColor theme="0" tint="-0.14999847407452621"/>
        <bgColor rgb="FFD6DCE5"/>
      </patternFill>
    </fill>
    <fill>
      <patternFill patternType="solid">
        <fgColor theme="3" tint="0.79989013336588644"/>
        <bgColor rgb="FFD9D9D9"/>
      </patternFill>
    </fill>
    <fill>
      <patternFill patternType="solid">
        <fgColor theme="3" tint="0.59987182226020086"/>
        <bgColor rgb="FFBFBFBF"/>
      </patternFill>
    </fill>
    <fill>
      <patternFill patternType="solid">
        <fgColor theme="3"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2" borderId="2" xfId="0" applyFont="1" applyFill="1" applyBorder="1"/>
    <xf numFmtId="0" fontId="1" fillId="2" borderId="1" xfId="0" applyFont="1" applyFill="1" applyBorder="1"/>
    <xf numFmtId="0" fontId="1" fillId="0" borderId="0" xfId="0" applyFont="1"/>
    <xf numFmtId="0" fontId="2" fillId="0" borderId="0" xfId="0" applyFont="1"/>
    <xf numFmtId="0" fontId="1" fillId="3"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164" fontId="4" fillId="5" borderId="1" xfId="0" applyNumberFormat="1" applyFont="1" applyFill="1" applyBorder="1" applyAlignment="1">
      <alignment vertical="center"/>
    </xf>
    <xf numFmtId="164" fontId="4" fillId="6" borderId="1" xfId="0" applyNumberFormat="1" applyFont="1" applyFill="1" applyBorder="1" applyAlignment="1">
      <alignment vertical="center"/>
    </xf>
    <xf numFmtId="0" fontId="5" fillId="2" borderId="3" xfId="0" applyFont="1" applyFill="1" applyBorder="1" applyAlignment="1">
      <alignment wrapText="1"/>
    </xf>
    <xf numFmtId="165" fontId="4" fillId="6" borderId="1" xfId="0" applyNumberFormat="1" applyFont="1" applyFill="1" applyBorder="1" applyAlignment="1">
      <alignment vertical="center"/>
    </xf>
    <xf numFmtId="0" fontId="4" fillId="0" borderId="0" xfId="0" applyFont="1"/>
    <xf numFmtId="164" fontId="3" fillId="6" borderId="4" xfId="0" applyNumberFormat="1" applyFont="1" applyFill="1" applyBorder="1" applyAlignment="1">
      <alignment vertical="center"/>
    </xf>
    <xf numFmtId="0" fontId="0" fillId="2" borderId="5" xfId="0" applyFill="1" applyBorder="1"/>
    <xf numFmtId="0" fontId="4" fillId="2" borderId="4" xfId="0" applyFont="1" applyFill="1" applyBorder="1" applyAlignment="1">
      <alignment horizontal="left" vertical="center" wrapText="1"/>
    </xf>
    <xf numFmtId="0" fontId="0" fillId="0" borderId="4" xfId="0" applyBorder="1"/>
    <xf numFmtId="0" fontId="3" fillId="2" borderId="1" xfId="0" applyFont="1" applyFill="1" applyBorder="1" applyAlignment="1">
      <alignment horizontal="left" vertical="center" wrapText="1"/>
    </xf>
    <xf numFmtId="165" fontId="3" fillId="6" borderId="1" xfId="0" applyNumberFormat="1" applyFont="1" applyFill="1" applyBorder="1" applyAlignment="1">
      <alignment vertical="center"/>
    </xf>
    <xf numFmtId="0" fontId="1" fillId="0" borderId="1" xfId="0" applyFont="1" applyBorder="1"/>
    <xf numFmtId="0" fontId="1" fillId="4" borderId="0" xfId="0" applyFont="1" applyFill="1"/>
    <xf numFmtId="0" fontId="1" fillId="4" borderId="1" xfId="0" applyFont="1" applyFill="1" applyBorder="1" applyAlignment="1">
      <alignment horizontal="center" vertical="center"/>
    </xf>
    <xf numFmtId="0" fontId="0" fillId="2" borderId="1" xfId="0" applyFill="1" applyBorder="1" applyAlignment="1">
      <alignment horizontal="left" vertical="center" wrapText="1"/>
    </xf>
    <xf numFmtId="165" fontId="0" fillId="5" borderId="1" xfId="0" applyNumberFormat="1" applyFill="1" applyBorder="1"/>
    <xf numFmtId="165" fontId="0" fillId="6" borderId="1" xfId="0" applyNumberFormat="1" applyFill="1" applyBorder="1"/>
    <xf numFmtId="0" fontId="0" fillId="2" borderId="1" xfId="0" applyFill="1" applyBorder="1"/>
    <xf numFmtId="0" fontId="1" fillId="4" borderId="1" xfId="0" applyFont="1" applyFill="1" applyBorder="1"/>
    <xf numFmtId="165" fontId="1" fillId="6" borderId="1" xfId="0" applyNumberFormat="1" applyFont="1" applyFill="1" applyBorder="1"/>
    <xf numFmtId="164" fontId="4" fillId="5" borderId="4" xfId="0" applyNumberFormat="1" applyFont="1" applyFill="1" applyBorder="1" applyAlignment="1">
      <alignment vertical="center"/>
    </xf>
    <xf numFmtId="164" fontId="3" fillId="6" borderId="1" xfId="0" applyNumberFormat="1" applyFont="1" applyFill="1" applyBorder="1" applyAlignment="1">
      <alignment vertical="center"/>
    </xf>
    <xf numFmtId="0" fontId="0" fillId="2" borderId="1" xfId="0" applyFill="1" applyBorder="1" applyAlignment="1">
      <alignment wrapText="1"/>
    </xf>
    <xf numFmtId="0" fontId="6" fillId="7" borderId="8" xfId="0" applyFont="1" applyFill="1" applyBorder="1" applyAlignment="1">
      <alignment horizontal="left"/>
    </xf>
    <xf numFmtId="0" fontId="6" fillId="7" borderId="9" xfId="0" applyFont="1" applyFill="1" applyBorder="1" applyAlignment="1">
      <alignment horizontal="left"/>
    </xf>
    <xf numFmtId="0" fontId="6" fillId="7" borderId="10" xfId="0" applyFont="1" applyFill="1" applyBorder="1" applyAlignment="1">
      <alignment horizontal="left"/>
    </xf>
    <xf numFmtId="0" fontId="6" fillId="7" borderId="6" xfId="0" applyFont="1" applyFill="1" applyBorder="1" applyAlignment="1">
      <alignment horizontal="left"/>
    </xf>
    <xf numFmtId="0" fontId="6" fillId="7" borderId="7" xfId="0" applyFont="1" applyFill="1" applyBorder="1" applyAlignment="1">
      <alignment horizontal="left"/>
    </xf>
    <xf numFmtId="0" fontId="6" fillId="7" borderId="3" xfId="0" applyFont="1" applyFill="1" applyBorder="1" applyAlignment="1">
      <alignment horizontal="left"/>
    </xf>
    <xf numFmtId="0" fontId="6" fillId="7" borderId="1" xfId="0" applyFont="1" applyFill="1" applyBorder="1"/>
    <xf numFmtId="0" fontId="0" fillId="7" borderId="1" xfId="0" applyFill="1" applyBorder="1"/>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D9D9D9"/>
      <rgbColor rgb="FFFFFF99"/>
      <rgbColor rgb="FFADB9CA"/>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04040"/>
  </sheetPr>
  <dimension ref="A1:L30"/>
  <sheetViews>
    <sheetView showGridLines="0" tabSelected="1" zoomScale="115" zoomScaleNormal="115" workbookViewId="0"/>
  </sheetViews>
  <sheetFormatPr defaultColWidth="8.6640625" defaultRowHeight="14.4" x14ac:dyDescent="0.3"/>
  <cols>
    <col min="2" max="2" width="30.44140625" customWidth="1"/>
    <col min="3" max="8" width="18.5546875" customWidth="1"/>
    <col min="9" max="9" width="80.6640625" customWidth="1"/>
    <col min="10" max="10" width="18.44140625" customWidth="1"/>
    <col min="11" max="11" width="24.109375" customWidth="1"/>
    <col min="12" max="12" width="85.109375" customWidth="1"/>
  </cols>
  <sheetData>
    <row r="1" spans="1:12" ht="14.25" customHeight="1" x14ac:dyDescent="0.3">
      <c r="A1" s="3"/>
    </row>
    <row r="3" spans="1:12" ht="14.25" customHeight="1" x14ac:dyDescent="0.3">
      <c r="B3" s="2" t="s">
        <v>0</v>
      </c>
      <c r="C3" s="2"/>
      <c r="D3" s="2"/>
      <c r="E3" s="38" t="s">
        <v>1</v>
      </c>
      <c r="F3" s="39"/>
      <c r="G3" s="39"/>
      <c r="H3" s="39"/>
    </row>
    <row r="4" spans="1:12" ht="14.25" customHeight="1" x14ac:dyDescent="0.3">
      <c r="B4" s="2" t="s">
        <v>2</v>
      </c>
      <c r="C4" s="2"/>
      <c r="D4" s="2"/>
      <c r="E4" s="38" t="s">
        <v>3</v>
      </c>
      <c r="F4" s="39"/>
      <c r="G4" s="39"/>
      <c r="H4" s="39"/>
    </row>
    <row r="5" spans="1:12" ht="14.25" customHeight="1" x14ac:dyDescent="0.3">
      <c r="B5" s="1" t="s">
        <v>4</v>
      </c>
      <c r="C5" s="1"/>
      <c r="D5" s="1"/>
      <c r="E5" s="32">
        <v>1</v>
      </c>
      <c r="F5" s="33"/>
      <c r="G5" s="33"/>
      <c r="H5" s="34"/>
    </row>
    <row r="6" spans="1:12" ht="14.25" customHeight="1" x14ac:dyDescent="0.3">
      <c r="B6" s="3"/>
      <c r="C6" s="3"/>
      <c r="D6" s="3"/>
    </row>
    <row r="7" spans="1:12" ht="14.25" customHeight="1" x14ac:dyDescent="0.3">
      <c r="L7" s="4"/>
    </row>
    <row r="8" spans="1:12" ht="42.75" customHeight="1" x14ac:dyDescent="0.3">
      <c r="B8" s="5" t="s">
        <v>5</v>
      </c>
      <c r="C8" s="6" t="s">
        <v>6</v>
      </c>
      <c r="D8" s="6" t="s">
        <v>7</v>
      </c>
      <c r="E8" s="6" t="s">
        <v>8</v>
      </c>
      <c r="F8" s="6" t="s">
        <v>9</v>
      </c>
      <c r="G8" s="6" t="s">
        <v>10</v>
      </c>
      <c r="H8" s="7" t="s">
        <v>11</v>
      </c>
      <c r="I8" s="7" t="s">
        <v>12</v>
      </c>
    </row>
    <row r="9" spans="1:12" ht="27.75" customHeight="1" x14ac:dyDescent="0.3">
      <c r="B9" s="8" t="s">
        <v>13</v>
      </c>
      <c r="C9" s="9">
        <v>30389</v>
      </c>
      <c r="D9" s="9">
        <v>31300</v>
      </c>
      <c r="E9" s="9">
        <v>32239</v>
      </c>
      <c r="F9" s="9">
        <v>33207</v>
      </c>
      <c r="G9" s="9">
        <v>34203</v>
      </c>
      <c r="H9" s="10">
        <f t="shared" ref="H9:H17" si="0">SUM(C9,D9,E9,F9,G9)</f>
        <v>161338</v>
      </c>
      <c r="I9" s="11" t="s">
        <v>14</v>
      </c>
    </row>
    <row r="10" spans="1:12" ht="54.75" customHeight="1" x14ac:dyDescent="0.3">
      <c r="B10" s="8" t="s">
        <v>15</v>
      </c>
      <c r="C10" s="9">
        <v>46164</v>
      </c>
      <c r="D10" s="9">
        <v>47549</v>
      </c>
      <c r="E10" s="9">
        <v>48975</v>
      </c>
      <c r="F10" s="9">
        <v>50445</v>
      </c>
      <c r="G10" s="9">
        <v>51958</v>
      </c>
      <c r="H10" s="10">
        <f t="shared" si="0"/>
        <v>245091</v>
      </c>
      <c r="I10" s="11" t="s">
        <v>16</v>
      </c>
    </row>
    <row r="11" spans="1:12" ht="15.75" customHeight="1" x14ac:dyDescent="0.3">
      <c r="B11" s="8" t="s">
        <v>17</v>
      </c>
      <c r="C11" s="9">
        <v>37708</v>
      </c>
      <c r="D11" s="9">
        <v>38839</v>
      </c>
      <c r="E11" s="9">
        <v>40004</v>
      </c>
      <c r="F11" s="9">
        <v>41205</v>
      </c>
      <c r="G11" s="9">
        <v>42441</v>
      </c>
      <c r="H11" s="10">
        <f t="shared" si="0"/>
        <v>200197</v>
      </c>
      <c r="I11" s="11" t="s">
        <v>18</v>
      </c>
    </row>
    <row r="12" spans="1:12" ht="27.75" customHeight="1" x14ac:dyDescent="0.3">
      <c r="B12" s="8" t="s">
        <v>19</v>
      </c>
      <c r="C12" s="9">
        <v>64000</v>
      </c>
      <c r="D12" s="9">
        <v>96000</v>
      </c>
      <c r="E12" s="9">
        <v>96000</v>
      </c>
      <c r="F12" s="9">
        <v>96000</v>
      </c>
      <c r="G12" s="9">
        <v>96000</v>
      </c>
      <c r="H12" s="10">
        <f t="shared" si="0"/>
        <v>448000</v>
      </c>
      <c r="I12" s="11" t="s">
        <v>20</v>
      </c>
    </row>
    <row r="13" spans="1:12" ht="54.75" customHeight="1" x14ac:dyDescent="0.3">
      <c r="B13" s="8" t="s">
        <v>21</v>
      </c>
      <c r="C13" s="9">
        <v>45000</v>
      </c>
      <c r="D13" s="9">
        <v>12000</v>
      </c>
      <c r="E13" s="9">
        <v>12000</v>
      </c>
      <c r="F13" s="9">
        <v>12000</v>
      </c>
      <c r="G13" s="9">
        <v>12000</v>
      </c>
      <c r="H13" s="10">
        <f t="shared" si="0"/>
        <v>93000</v>
      </c>
      <c r="I13" s="11" t="s">
        <v>22</v>
      </c>
    </row>
    <row r="14" spans="1:12" ht="41.25" customHeight="1" x14ac:dyDescent="0.3">
      <c r="B14" s="8" t="s">
        <v>23</v>
      </c>
      <c r="C14" s="9">
        <v>14000</v>
      </c>
      <c r="D14" s="9">
        <v>24000</v>
      </c>
      <c r="E14" s="9">
        <v>24000</v>
      </c>
      <c r="F14" s="9">
        <v>24000</v>
      </c>
      <c r="G14" s="9">
        <v>24000</v>
      </c>
      <c r="H14" s="10">
        <f t="shared" si="0"/>
        <v>110000</v>
      </c>
      <c r="I14" s="11" t="s">
        <v>24</v>
      </c>
    </row>
    <row r="15" spans="1:12" ht="14.25" customHeight="1" x14ac:dyDescent="0.3">
      <c r="B15" s="8" t="s">
        <v>25</v>
      </c>
      <c r="C15" s="9">
        <v>0</v>
      </c>
      <c r="D15" s="9">
        <v>0</v>
      </c>
      <c r="E15" s="9">
        <v>0</v>
      </c>
      <c r="F15" s="9">
        <v>0</v>
      </c>
      <c r="G15" s="9">
        <v>0</v>
      </c>
      <c r="H15" s="10">
        <f t="shared" si="0"/>
        <v>0</v>
      </c>
      <c r="I15" s="11" t="s">
        <v>26</v>
      </c>
    </row>
    <row r="16" spans="1:12" ht="27.75" customHeight="1" x14ac:dyDescent="0.3">
      <c r="B16" s="8" t="s">
        <v>27</v>
      </c>
      <c r="C16" s="9">
        <v>4500</v>
      </c>
      <c r="D16" s="9">
        <v>7000</v>
      </c>
      <c r="E16" s="9">
        <v>7000</v>
      </c>
      <c r="F16" s="9">
        <v>7000</v>
      </c>
      <c r="G16" s="9">
        <v>7000</v>
      </c>
      <c r="H16" s="10">
        <f t="shared" si="0"/>
        <v>32500</v>
      </c>
      <c r="I16" s="11" t="s">
        <v>28</v>
      </c>
    </row>
    <row r="17" spans="2:9" ht="41.25" customHeight="1" x14ac:dyDescent="0.3">
      <c r="B17" s="8" t="s">
        <v>29</v>
      </c>
      <c r="C17" s="9">
        <v>33239</v>
      </c>
      <c r="D17" s="9">
        <v>18312</v>
      </c>
      <c r="E17" s="9">
        <v>14782</v>
      </c>
      <c r="F17" s="9">
        <v>11143</v>
      </c>
      <c r="G17" s="9">
        <v>7398</v>
      </c>
      <c r="H17" s="10">
        <f t="shared" si="0"/>
        <v>84874</v>
      </c>
      <c r="I17" s="11" t="s">
        <v>30</v>
      </c>
    </row>
    <row r="18" spans="2:9" ht="14.25" customHeight="1" x14ac:dyDescent="0.3">
      <c r="B18" s="8"/>
      <c r="C18" s="9"/>
      <c r="D18" s="9"/>
      <c r="E18" s="9"/>
      <c r="F18" s="9"/>
      <c r="G18" s="9"/>
      <c r="H18" s="12"/>
      <c r="I18" s="11"/>
    </row>
    <row r="19" spans="2:9" ht="14.25" customHeight="1" x14ac:dyDescent="0.3">
      <c r="B19" s="13"/>
      <c r="C19" s="14">
        <f>SUM(C9:C18)</f>
        <v>275000</v>
      </c>
      <c r="D19" s="14">
        <f>SUM(D9:D18)</f>
        <v>275000</v>
      </c>
      <c r="E19" s="14">
        <f>SUM(E9:E18)</f>
        <v>275000</v>
      </c>
      <c r="F19" s="14">
        <f>SUM(F9:F18)</f>
        <v>275000</v>
      </c>
      <c r="G19" s="14">
        <f>SUM(G9:G18)</f>
        <v>275000</v>
      </c>
      <c r="H19" s="14">
        <f>SUM(C19:G19)</f>
        <v>1375000</v>
      </c>
      <c r="I19" s="15"/>
    </row>
    <row r="20" spans="2:9" ht="14.25" customHeight="1" x14ac:dyDescent="0.3">
      <c r="B20" s="16" t="s">
        <v>31</v>
      </c>
      <c r="C20" s="29">
        <f>+Subrecipients!C11</f>
        <v>100000</v>
      </c>
      <c r="D20" s="29">
        <f>+Subrecipients!D11</f>
        <v>100000</v>
      </c>
      <c r="E20" s="29">
        <f>+Subrecipients!E11</f>
        <v>100000</v>
      </c>
      <c r="F20" s="29">
        <f>+Subrecipients!F11</f>
        <v>100000</v>
      </c>
      <c r="G20" s="29">
        <f>+Subrecipients!G11</f>
        <v>100000</v>
      </c>
      <c r="H20" s="14">
        <f>SUM(C20:G20)</f>
        <v>500000</v>
      </c>
      <c r="I20" s="17"/>
    </row>
    <row r="21" spans="2:9" ht="14.25" customHeight="1" x14ac:dyDescent="0.3">
      <c r="B21" s="18" t="s">
        <v>32</v>
      </c>
      <c r="C21" s="30">
        <f>SUM(C19:C20)</f>
        <v>375000</v>
      </c>
      <c r="D21" s="30">
        <f>SUM(D19:D20)</f>
        <v>375000</v>
      </c>
      <c r="E21" s="30">
        <f>SUM(E19:E20)</f>
        <v>375000</v>
      </c>
      <c r="F21" s="30">
        <f>SUM(F19:F20)</f>
        <v>375000</v>
      </c>
      <c r="G21" s="30">
        <f>SUM(G19:G20)</f>
        <v>375000</v>
      </c>
      <c r="H21" s="30">
        <f>SUM(C21:G21)</f>
        <v>1875000</v>
      </c>
      <c r="I21" s="20"/>
    </row>
    <row r="22" spans="2:9" ht="54.75" customHeight="1" x14ac:dyDescent="0.3">
      <c r="B22" s="8" t="s">
        <v>33</v>
      </c>
      <c r="C22" s="9">
        <v>73750</v>
      </c>
      <c r="D22" s="9">
        <v>73750</v>
      </c>
      <c r="E22" s="9">
        <v>73750</v>
      </c>
      <c r="F22" s="9">
        <v>73750</v>
      </c>
      <c r="G22" s="9">
        <v>73750</v>
      </c>
      <c r="H22" s="10">
        <f t="shared" ref="H22:H29" si="1">SUM(C22,D22,E22,F22,G22)</f>
        <v>368750</v>
      </c>
      <c r="I22" s="11" t="s">
        <v>34</v>
      </c>
    </row>
    <row r="23" spans="2:9" ht="54.75" customHeight="1" x14ac:dyDescent="0.3">
      <c r="B23" s="8" t="s">
        <v>35</v>
      </c>
      <c r="C23" s="9">
        <v>20000</v>
      </c>
      <c r="D23" s="9">
        <v>20000</v>
      </c>
      <c r="E23" s="9">
        <v>20000</v>
      </c>
      <c r="F23" s="9">
        <v>20000</v>
      </c>
      <c r="G23" s="9">
        <v>20000</v>
      </c>
      <c r="H23" s="10">
        <f t="shared" si="1"/>
        <v>100000</v>
      </c>
      <c r="I23" s="11" t="s">
        <v>36</v>
      </c>
    </row>
    <row r="24" spans="2:9" ht="54.75" customHeight="1" x14ac:dyDescent="0.3">
      <c r="B24" s="8" t="s">
        <v>37</v>
      </c>
      <c r="C24" s="9">
        <v>6000</v>
      </c>
      <c r="D24" s="9">
        <v>6000</v>
      </c>
      <c r="E24" s="9">
        <v>6000</v>
      </c>
      <c r="F24" s="9">
        <v>6000</v>
      </c>
      <c r="G24" s="9">
        <v>6000</v>
      </c>
      <c r="H24" s="10">
        <f t="shared" si="1"/>
        <v>30000</v>
      </c>
      <c r="I24" s="11" t="s">
        <v>38</v>
      </c>
    </row>
    <row r="25" spans="2:9" ht="54.75" customHeight="1" x14ac:dyDescent="0.3">
      <c r="B25" s="8" t="s">
        <v>39</v>
      </c>
      <c r="C25" s="9">
        <v>5000</v>
      </c>
      <c r="D25" s="9">
        <v>5000</v>
      </c>
      <c r="E25" s="9">
        <v>5000</v>
      </c>
      <c r="F25" s="9">
        <v>5000</v>
      </c>
      <c r="G25" s="9">
        <v>5000</v>
      </c>
      <c r="H25" s="10">
        <f t="shared" si="1"/>
        <v>25000</v>
      </c>
      <c r="I25" s="11" t="s">
        <v>40</v>
      </c>
    </row>
    <row r="26" spans="2:9" ht="54.75" customHeight="1" x14ac:dyDescent="0.3">
      <c r="B26" s="8" t="s">
        <v>41</v>
      </c>
      <c r="C26" s="9">
        <v>6000</v>
      </c>
      <c r="D26" s="9">
        <v>6000</v>
      </c>
      <c r="E26" s="9">
        <v>6000</v>
      </c>
      <c r="F26" s="9">
        <v>6000</v>
      </c>
      <c r="G26" s="9">
        <v>6000</v>
      </c>
      <c r="H26" s="10">
        <f t="shared" si="1"/>
        <v>30000</v>
      </c>
      <c r="I26" s="11" t="s">
        <v>42</v>
      </c>
    </row>
    <row r="27" spans="2:9" ht="54.75" customHeight="1" x14ac:dyDescent="0.3">
      <c r="B27" s="8" t="s">
        <v>43</v>
      </c>
      <c r="C27" s="9">
        <v>5000</v>
      </c>
      <c r="D27" s="9">
        <v>5000</v>
      </c>
      <c r="E27" s="9">
        <v>5000</v>
      </c>
      <c r="F27" s="9">
        <v>5000</v>
      </c>
      <c r="G27" s="9">
        <v>5000</v>
      </c>
      <c r="H27" s="10">
        <f t="shared" si="1"/>
        <v>25000</v>
      </c>
      <c r="I27" s="11" t="s">
        <v>44</v>
      </c>
    </row>
    <row r="28" spans="2:9" ht="54.75" customHeight="1" x14ac:dyDescent="0.3">
      <c r="B28" s="8" t="s">
        <v>45</v>
      </c>
      <c r="C28" s="9">
        <v>3500</v>
      </c>
      <c r="D28" s="9">
        <v>3500</v>
      </c>
      <c r="E28" s="9">
        <v>3500</v>
      </c>
      <c r="F28" s="9">
        <v>3500</v>
      </c>
      <c r="G28" s="9">
        <v>3500</v>
      </c>
      <c r="H28" s="10">
        <f t="shared" si="1"/>
        <v>17500</v>
      </c>
      <c r="I28" s="11" t="s">
        <v>46</v>
      </c>
    </row>
    <row r="29" spans="2:9" ht="54.75" customHeight="1" x14ac:dyDescent="0.3">
      <c r="B29" s="8" t="s">
        <v>47</v>
      </c>
      <c r="C29" s="9">
        <v>1500</v>
      </c>
      <c r="D29" s="9">
        <v>1500</v>
      </c>
      <c r="E29" s="9">
        <v>1500</v>
      </c>
      <c r="F29" s="9">
        <v>1500</v>
      </c>
      <c r="G29" s="9">
        <v>1500</v>
      </c>
      <c r="H29" s="10">
        <f t="shared" si="1"/>
        <v>7500</v>
      </c>
      <c r="I29" s="11" t="s">
        <v>48</v>
      </c>
    </row>
    <row r="30" spans="2:9" ht="14.25" customHeight="1" x14ac:dyDescent="0.3">
      <c r="B30" s="18" t="s">
        <v>49</v>
      </c>
      <c r="C30" s="19">
        <f>SUM(C22:C29)</f>
        <v>120750</v>
      </c>
      <c r="D30" s="19">
        <f>SUM(D22:D29)</f>
        <v>120750</v>
      </c>
      <c r="E30" s="19">
        <f>SUM(E22:E29)</f>
        <v>120750</v>
      </c>
      <c r="F30" s="19">
        <f>SUM(F22:F29)</f>
        <v>120750</v>
      </c>
      <c r="G30" s="19">
        <f>SUM(G22:G29)</f>
        <v>120750</v>
      </c>
      <c r="H30" s="19">
        <f>SUM(C30:G30)</f>
        <v>603750</v>
      </c>
      <c r="I30" s="20" t="s">
        <v>50</v>
      </c>
    </row>
  </sheetData>
  <mergeCells count="4">
    <mergeCell ref="B3:D3"/>
    <mergeCell ref="B4:D4"/>
    <mergeCell ref="B5:D5"/>
    <mergeCell ref="E5:H5"/>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sheetPr>
  <dimension ref="A2:I11"/>
  <sheetViews>
    <sheetView showGridLines="0" zoomScale="115" zoomScaleNormal="115" workbookViewId="0"/>
  </sheetViews>
  <sheetFormatPr defaultColWidth="8.6640625" defaultRowHeight="14.4" x14ac:dyDescent="0.3"/>
  <cols>
    <col min="2" max="2" width="35.5546875" customWidth="1"/>
    <col min="3" max="8" width="18.5546875" customWidth="1"/>
    <col min="9" max="9" width="80.6640625" customWidth="1"/>
  </cols>
  <sheetData>
    <row r="2" spans="1:9" ht="14.25" customHeight="1" x14ac:dyDescent="0.3">
      <c r="B2" s="2" t="s">
        <v>0</v>
      </c>
      <c r="C2" s="2"/>
      <c r="D2" s="2"/>
      <c r="E2" s="32" t="s">
        <v>1</v>
      </c>
      <c r="F2" s="33"/>
      <c r="G2" s="33"/>
      <c r="H2" s="34"/>
    </row>
    <row r="3" spans="1:9" ht="14.25" customHeight="1" x14ac:dyDescent="0.3">
      <c r="B3" s="2" t="s">
        <v>2</v>
      </c>
      <c r="C3" s="2"/>
      <c r="D3" s="2"/>
      <c r="E3" s="32" t="s">
        <v>3</v>
      </c>
      <c r="F3" s="33"/>
      <c r="G3" s="33"/>
      <c r="H3" s="34"/>
    </row>
    <row r="4" spans="1:9" ht="17.25" customHeight="1" x14ac:dyDescent="0.3">
      <c r="B4" s="1" t="s">
        <v>4</v>
      </c>
      <c r="C4" s="1"/>
      <c r="D4" s="1"/>
      <c r="E4" s="35">
        <v>1</v>
      </c>
      <c r="F4" s="36"/>
      <c r="G4" s="36"/>
      <c r="H4" s="37"/>
    </row>
    <row r="6" spans="1:9" s="21" customFormat="1" ht="14.25" customHeight="1" x14ac:dyDescent="0.3">
      <c r="A6" s="21" t="s">
        <v>51</v>
      </c>
    </row>
    <row r="7" spans="1:9" ht="14.25" customHeight="1" x14ac:dyDescent="0.3">
      <c r="I7" s="4"/>
    </row>
    <row r="8" spans="1:9" ht="42.75" customHeight="1" x14ac:dyDescent="0.3">
      <c r="B8" s="22" t="s">
        <v>52</v>
      </c>
      <c r="C8" s="6" t="s">
        <v>6</v>
      </c>
      <c r="D8" s="6" t="s">
        <v>7</v>
      </c>
      <c r="E8" s="6" t="s">
        <v>8</v>
      </c>
      <c r="F8" s="6" t="s">
        <v>9</v>
      </c>
      <c r="G8" s="6" t="s">
        <v>10</v>
      </c>
      <c r="H8" s="6" t="s">
        <v>11</v>
      </c>
      <c r="I8" s="6" t="s">
        <v>53</v>
      </c>
    </row>
    <row r="9" spans="1:9" ht="177.6" customHeight="1" x14ac:dyDescent="0.3">
      <c r="B9" s="23" t="s">
        <v>35</v>
      </c>
      <c r="C9" s="24">
        <v>100000</v>
      </c>
      <c r="D9" s="24">
        <v>100000</v>
      </c>
      <c r="E9" s="24">
        <v>100000</v>
      </c>
      <c r="F9" s="24">
        <v>100000</v>
      </c>
      <c r="G9" s="24">
        <v>100000</v>
      </c>
      <c r="H9" s="25">
        <f>SUM(C9:G9)</f>
        <v>500000</v>
      </c>
      <c r="I9" s="31" t="s">
        <v>54</v>
      </c>
    </row>
    <row r="10" spans="1:9" ht="15" customHeight="1" x14ac:dyDescent="0.3">
      <c r="B10" s="23"/>
      <c r="C10" s="24"/>
      <c r="D10" s="24"/>
      <c r="E10" s="24"/>
      <c r="F10" s="24"/>
      <c r="G10" s="24"/>
      <c r="H10" s="25">
        <f>SUM(C10:G10)</f>
        <v>0</v>
      </c>
      <c r="I10" s="26"/>
    </row>
    <row r="11" spans="1:9" ht="15" customHeight="1" x14ac:dyDescent="0.3">
      <c r="B11" s="27" t="s">
        <v>55</v>
      </c>
      <c r="C11" s="28">
        <f>SUM(C9:C10)</f>
        <v>100000</v>
      </c>
      <c r="D11" s="28">
        <f>SUM(D9:D10)</f>
        <v>100000</v>
      </c>
      <c r="E11" s="28">
        <f>SUM(E9:E10)</f>
        <v>100000</v>
      </c>
      <c r="F11" s="28">
        <f>SUM(F9:F10)</f>
        <v>100000</v>
      </c>
      <c r="G11" s="28">
        <f>SUM(G9:G10)</f>
        <v>100000</v>
      </c>
      <c r="H11" s="25">
        <f>SUM(C11:G11)</f>
        <v>500000</v>
      </c>
      <c r="I11" s="26"/>
    </row>
  </sheetData>
  <mergeCells count="6">
    <mergeCell ref="B2:D2"/>
    <mergeCell ref="B3:D3"/>
    <mergeCell ref="B4:D4"/>
    <mergeCell ref="E2:H2"/>
    <mergeCell ref="E3:H3"/>
    <mergeCell ref="E4:H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Prime Recipient</vt:lpstr>
      <vt:lpstr>Subrecipients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Hauptman, Hannah</dc:creator>
  <dc:description/>
  <cp:lastModifiedBy>Nelinia Varenas</cp:lastModifiedBy>
  <cp:revision>0</cp:revision>
  <dcterms:created xsi:type="dcterms:W3CDTF">2015-06-05T18:17:20Z</dcterms:created>
  <dcterms:modified xsi:type="dcterms:W3CDTF">2026-10-23T02:09:52Z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0x010100D11156065B79744D8A613CAF752491D2</vt:lpwstr>
  </property>
  <property fmtid="{D5CDD505-2E9C-101B-9397-08002B2CF9AE}" pid="3" name="MediaServiceImageTags">
    <vt:lpwstr/>
  </property>
</Properties>
</file>